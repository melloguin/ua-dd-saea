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B3ED822B-9973-481A-BA12-CF772E450A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2" l="1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C2" i="2"/>
  <c r="D2" i="2"/>
  <c r="B2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<sst xmlns="http://schemas.openxmlformats.org/spreadsheetml/2006/main" count="414" uniqueCount="105">
  <si>
    <t>problema</t>
  </si>
  <si>
    <t>suite</t>
  </si>
  <si>
    <t>M</t>
  </si>
  <si>
    <t>D</t>
  </si>
  <si>
    <t>orcamento</t>
  </si>
  <si>
    <t>degrau</t>
  </si>
  <si>
    <t>linha</t>
  </si>
  <si>
    <t>grupo</t>
  </si>
  <si>
    <t>grupo_nome</t>
  </si>
  <si>
    <t>trilha</t>
  </si>
  <si>
    <t>detalhe</t>
  </si>
  <si>
    <t>MMF1</t>
  </si>
  <si>
    <t>MMF</t>
  </si>
  <si>
    <t>multimodalidade</t>
  </si>
  <si>
    <t>A — conjuntos de Pareto múltiplos no espaço de decisão</t>
  </si>
  <si>
    <t>2 PSs globais simétricos, frente convexa, D=2 visualizável — teste mais simples do niching</t>
  </si>
  <si>
    <t>MMF4</t>
  </si>
  <si>
    <t>4 PSs globais (senos/cossenos) para uma única frente côncava — espelho da PoC</t>
  </si>
  <si>
    <t>MMF11_L</t>
  </si>
  <si>
    <t>A — conjuntos de Pareto múltiplos no espaço de decisão / falso ótimo — um ótimo local atraente</t>
  </si>
  <si>
    <t>dezenas de PSs locais e globais; local com fitness próximo do global</t>
  </si>
  <si>
    <t>MMF16_20</t>
  </si>
  <si>
    <t>chefe</t>
  </si>
  <si>
    <t>3 objetivos, 2 PSs globais + 2 locais, D=20 com 17 variáveis inertes</t>
  </si>
  <si>
    <t>ZDT4</t>
  </si>
  <si>
    <t>ZDT</t>
  </si>
  <si>
    <t>B — muitos ótimos locais na paisagem</t>
  </si>
  <si>
    <t>21^9 frentes locais em grade regular e separável — paralisação por conservadorismo</t>
  </si>
  <si>
    <t>DTLZ1</t>
  </si>
  <si>
    <t>DTLZ</t>
  </si>
  <si>
    <t>paisagem hiper-ondulada com milhares de falsas frentes; frente plana 3D</t>
  </si>
  <si>
    <t>DTLZ3</t>
  </si>
  <si>
    <t>esfera côncava + ótimos locais massivos — um dos testes mais difíceis</t>
  </si>
  <si>
    <t>WFG4</t>
  </si>
  <si>
    <t>WFG</t>
  </si>
  <si>
    <t>colinas grandes e absorventes — laboratório superior ao ZDT4</t>
  </si>
  <si>
    <t>F17</t>
  </si>
  <si>
    <t>BBOB</t>
  </si>
  <si>
    <t>C — multimodalidade irregular</t>
  </si>
  <si>
    <t>2.º objetivo (Schaffer F7) altamente multimodal e assimétrico (COCO)</t>
  </si>
  <si>
    <t>F37</t>
  </si>
  <si>
    <t>Rastrigin com ~10^n ótimos locais (COCO)</t>
  </si>
  <si>
    <t>F49</t>
  </si>
  <si>
    <t>C — multimodalidade irregular / falso ótimo — um ótimo local atraente</t>
  </si>
  <si>
    <t>Rastrigin × Gallagher: 101 picos com posição e altura aleatórias (COCO)</t>
  </si>
  <si>
    <t>F55</t>
  </si>
  <si>
    <t>Gallagher × Gallagher — nenhuma estrutura global (COCO)</t>
  </si>
  <si>
    <t>F5</t>
  </si>
  <si>
    <t>não separabilidade</t>
  </si>
  <si>
    <t>-</t>
  </si>
  <si>
    <t>só o 2.º objetivo (crista aguda) é não separável (COCO)</t>
  </si>
  <si>
    <t>só o 2.º objetivo (Schaffer F7) é não separável (COCO)</t>
  </si>
  <si>
    <t>F22</t>
  </si>
  <si>
    <t>os dois objetivos não separáveis, ambos unimodais (COCO)</t>
  </si>
  <si>
    <t>os dois objetivos não separáveis; 2.º multimodal (COCO)</t>
  </si>
  <si>
    <t>os dois objetivos não separáveis e multimodais (COCO)</t>
  </si>
  <si>
    <t>WFG2</t>
  </si>
  <si>
    <t>variáveis dependentes por construção (redução não separável) + frente desconexa</t>
  </si>
  <si>
    <t>WFG9</t>
  </si>
  <si>
    <t>não separabilidade total + viés dependente de parâmetro + enganosidade</t>
  </si>
  <si>
    <t>WFG5</t>
  </si>
  <si>
    <t>geometria da landscape</t>
  </si>
  <si>
    <t>enganosidade / falsos ótimos</t>
  </si>
  <si>
    <t>enganosidade pura: bacia do falso ótimo gigantesca, global num alfinete; separável</t>
  </si>
  <si>
    <t>enganosidade + não separabilidade total + viés</t>
  </si>
  <si>
    <t>WFG1</t>
  </si>
  <si>
    <t>regiões planas</t>
  </si>
  <si>
    <t>regiões planas massivas + viés polinomial — falsa certeza do modelo</t>
  </si>
  <si>
    <t>DDMOP7</t>
  </si>
  <si>
    <t>reais</t>
  </si>
  <si>
    <t>objetivos quantizados (18 valores) + zona morta: platôs onde x muda e F não muda (só HV; asterisco C14)</t>
  </si>
  <si>
    <t>ZDT6</t>
  </si>
  <si>
    <t>heterocedasticidade / densidade irregular</t>
  </si>
  <si>
    <t>densidade cai perto da frente — small data onde precisa de precisão</t>
  </si>
  <si>
    <t>DTLZ4</t>
  </si>
  <si>
    <t>evolução do ZDT6 para 3D: viés paramétrico fortíssimo</t>
  </si>
  <si>
    <t>setor atrativo: só um hipercone de volume ~(1/2)^n tem valores baixos (COCO/cap. 4)</t>
  </si>
  <si>
    <t>geometria do front (côncavo, desconexo)</t>
  </si>
  <si>
    <t>convexa — sanidade</t>
  </si>
  <si>
    <t>frente convexa amigável; D=2</t>
  </si>
  <si>
    <t>RE21</t>
  </si>
  <si>
    <t>cap. 4: frente convexa; problema real simples; D=4</t>
  </si>
  <si>
    <t>F1</t>
  </si>
  <si>
    <t>COCO: frente convexa, PS em reta — o problema biobjetivo mais simples; D=10</t>
  </si>
  <si>
    <t>ZDT1</t>
  </si>
  <si>
    <t>convexa, contínua, separável, sem ótimos locais; D=30</t>
  </si>
  <si>
    <t>côncava</t>
  </si>
  <si>
    <t>frente côncava — atrai para as pontas</t>
  </si>
  <si>
    <t>DTLZ2</t>
  </si>
  <si>
    <t>esfera côncava 3D sem ótimos locais — controle volumétrico</t>
  </si>
  <si>
    <t>côncava + densidade irregular (2 objetivos)</t>
  </si>
  <si>
    <t>a mesma esfera côncava do DTLZ2 + densidade irregular (3 objetivos) — par do ZDT6</t>
  </si>
  <si>
    <t>côncava + ótimos locais</t>
  </si>
  <si>
    <t>ZDT3</t>
  </si>
  <si>
    <t>desconexa</t>
  </si>
  <si>
    <t>5 segmentos; separável; unimodal no espaço de decisão — alucinação de pontes</t>
  </si>
  <si>
    <t>DTLZ7</t>
  </si>
  <si>
    <t>4 ilhas em 3 objetivos — arquipélago 3D</t>
  </si>
  <si>
    <t>ilhas + variáveis dependentes</t>
  </si>
  <si>
    <t>maldição da dimensionalidade</t>
  </si>
  <si>
    <t>única</t>
  </si>
  <si>
    <t>orçamento 31D-1</t>
  </si>
  <si>
    <t>ESTOQUE40</t>
  </si>
  <si>
    <t>outros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</si>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</sst>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5" borderId="6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/>
    <xf numFmtId="0" fontId="0" fillId="6" borderId="8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/>
    <xf numFmtId="0" fontId="0" fillId="5" borderId="6" xfId="0" applyFill="1" applyBorder="1"/>
    <xf numFmtId="0" fontId="0" fillId="5" borderId="7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0" fillId="5" borderId="8" xfId="0" applyFill="1" applyBorder="1"/>
    <xf numFmtId="0" fontId="1" fillId="5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I29" sqref="I29"/>
    </sheetView>
  </sheetViews>
  <sheetFormatPr defaultRowHeight="15"/>
  <cols>
    <col min="1" max="1" width="11.7109375" bestFit="1" customWidth="1"/>
    <col min="2" max="4" width="6.5703125" customWidth="1"/>
    <col min="5" max="5" width="10.7109375" bestFit="1" customWidth="1"/>
    <col min="6" max="6" width="7.28515625" bestFit="1" customWidth="1"/>
    <col min="7" max="7" width="7.28515625" customWidth="1"/>
    <col min="8" max="8" width="9.85546875" customWidth="1"/>
    <col min="9" max="9" width="38.5703125" bestFit="1" customWidth="1"/>
    <col min="10" max="10" width="88.42578125" bestFit="1" customWidth="1"/>
    <col min="11" max="11" width="95.140625" bestFit="1" customWidth="1"/>
  </cols>
  <sheetData>
    <row r="1" spans="1:11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9" t="s">
        <v>5</v>
      </c>
      <c r="G1" s="39" t="s">
        <v>6</v>
      </c>
      <c r="H1" s="37" t="s">
        <v>7</v>
      </c>
      <c r="I1" s="38" t="s">
        <v>8</v>
      </c>
      <c r="J1" s="38" t="s">
        <v>9</v>
      </c>
      <c r="K1" s="40" t="s">
        <v>10</v>
      </c>
    </row>
    <row r="2" spans="1:11">
      <c r="A2" s="7" t="s">
        <v>11</v>
      </c>
      <c r="B2" s="8" t="s">
        <v>12</v>
      </c>
      <c r="C2" s="8">
        <v>2</v>
      </c>
      <c r="D2" s="8">
        <v>2</v>
      </c>
      <c r="E2" s="8">
        <v>61</v>
      </c>
      <c r="F2" s="9">
        <v>1</v>
      </c>
      <c r="G2" s="9">
        <v>1</v>
      </c>
      <c r="H2" s="9">
        <v>1</v>
      </c>
      <c r="I2" s="41" t="s">
        <v>13</v>
      </c>
      <c r="J2" s="10" t="s">
        <v>14</v>
      </c>
      <c r="K2" s="11" t="s">
        <v>15</v>
      </c>
    </row>
    <row r="3" spans="1:11">
      <c r="A3" s="12" t="s">
        <v>16</v>
      </c>
      <c r="B3" s="13" t="s">
        <v>12</v>
      </c>
      <c r="C3" s="13">
        <v>2</v>
      </c>
      <c r="D3" s="13">
        <v>2</v>
      </c>
      <c r="E3" s="13">
        <v>61</v>
      </c>
      <c r="F3" s="14">
        <v>2</v>
      </c>
      <c r="G3" s="14">
        <v>1</v>
      </c>
      <c r="H3" s="14">
        <v>1</v>
      </c>
      <c r="I3" s="42" t="s">
        <v>13</v>
      </c>
      <c r="J3" s="15" t="s">
        <v>14</v>
      </c>
      <c r="K3" s="16" t="s">
        <v>17</v>
      </c>
    </row>
    <row r="4" spans="1:11">
      <c r="A4" s="12" t="s">
        <v>18</v>
      </c>
      <c r="B4" s="13" t="s">
        <v>12</v>
      </c>
      <c r="C4" s="13">
        <v>2</v>
      </c>
      <c r="D4" s="13">
        <v>2</v>
      </c>
      <c r="E4" s="13">
        <v>61</v>
      </c>
      <c r="F4" s="14">
        <v>3</v>
      </c>
      <c r="G4" s="14">
        <v>1</v>
      </c>
      <c r="H4" s="14">
        <v>1</v>
      </c>
      <c r="I4" s="42" t="s">
        <v>13</v>
      </c>
      <c r="J4" s="15" t="s">
        <v>19</v>
      </c>
      <c r="K4" s="16" t="s">
        <v>20</v>
      </c>
    </row>
    <row r="5" spans="1:11">
      <c r="A5" s="12" t="s">
        <v>21</v>
      </c>
      <c r="B5" s="13" t="s">
        <v>12</v>
      </c>
      <c r="C5" s="13">
        <v>3</v>
      </c>
      <c r="D5" s="13">
        <v>20</v>
      </c>
      <c r="E5" s="13">
        <v>619</v>
      </c>
      <c r="F5" s="14" t="s">
        <v>22</v>
      </c>
      <c r="G5" s="14">
        <v>1</v>
      </c>
      <c r="H5" s="14">
        <v>1</v>
      </c>
      <c r="I5" s="42" t="s">
        <v>13</v>
      </c>
      <c r="J5" s="15" t="s">
        <v>19</v>
      </c>
      <c r="K5" s="16" t="s">
        <v>23</v>
      </c>
    </row>
    <row r="6" spans="1:11">
      <c r="A6" s="7" t="s">
        <v>24</v>
      </c>
      <c r="B6" s="8" t="s">
        <v>25</v>
      </c>
      <c r="C6" s="8">
        <v>2</v>
      </c>
      <c r="D6" s="8">
        <v>10</v>
      </c>
      <c r="E6" s="8">
        <v>309</v>
      </c>
      <c r="F6" s="9">
        <v>1</v>
      </c>
      <c r="G6" s="9">
        <v>2</v>
      </c>
      <c r="H6" s="9">
        <v>1</v>
      </c>
      <c r="I6" s="41" t="s">
        <v>13</v>
      </c>
      <c r="J6" s="10" t="s">
        <v>26</v>
      </c>
      <c r="K6" s="11" t="s">
        <v>27</v>
      </c>
    </row>
    <row r="7" spans="1:11">
      <c r="A7" s="12" t="s">
        <v>28</v>
      </c>
      <c r="B7" s="13" t="s">
        <v>29</v>
      </c>
      <c r="C7" s="13">
        <v>3</v>
      </c>
      <c r="D7" s="13">
        <v>7</v>
      </c>
      <c r="E7" s="13">
        <v>216</v>
      </c>
      <c r="F7" s="14">
        <v>2</v>
      </c>
      <c r="G7" s="14">
        <v>2</v>
      </c>
      <c r="H7" s="14">
        <v>1</v>
      </c>
      <c r="I7" s="42" t="s">
        <v>13</v>
      </c>
      <c r="J7" s="15" t="s">
        <v>26</v>
      </c>
      <c r="K7" s="16" t="s">
        <v>30</v>
      </c>
    </row>
    <row r="8" spans="1:11">
      <c r="A8" s="12" t="s">
        <v>31</v>
      </c>
      <c r="B8" s="13" t="s">
        <v>29</v>
      </c>
      <c r="C8" s="13">
        <v>3</v>
      </c>
      <c r="D8" s="13">
        <v>12</v>
      </c>
      <c r="E8" s="13">
        <v>371</v>
      </c>
      <c r="F8" s="14">
        <v>3</v>
      </c>
      <c r="G8" s="14">
        <v>2</v>
      </c>
      <c r="H8" s="14">
        <v>1</v>
      </c>
      <c r="I8" s="42" t="s">
        <v>13</v>
      </c>
      <c r="J8" s="15" t="s">
        <v>26</v>
      </c>
      <c r="K8" s="16" t="s">
        <v>32</v>
      </c>
    </row>
    <row r="9" spans="1:11">
      <c r="A9" s="12" t="s">
        <v>33</v>
      </c>
      <c r="B9" s="13" t="s">
        <v>34</v>
      </c>
      <c r="C9" s="13">
        <v>2</v>
      </c>
      <c r="D9" s="13">
        <v>22</v>
      </c>
      <c r="E9" s="13">
        <v>681</v>
      </c>
      <c r="F9" s="14" t="s">
        <v>22</v>
      </c>
      <c r="G9" s="14">
        <v>2</v>
      </c>
      <c r="H9" s="14">
        <v>1</v>
      </c>
      <c r="I9" s="42" t="s">
        <v>13</v>
      </c>
      <c r="J9" s="15" t="s">
        <v>26</v>
      </c>
      <c r="K9" s="16" t="s">
        <v>35</v>
      </c>
    </row>
    <row r="10" spans="1:11">
      <c r="A10" s="7" t="s">
        <v>36</v>
      </c>
      <c r="B10" s="8" t="s">
        <v>37</v>
      </c>
      <c r="C10" s="8">
        <v>2</v>
      </c>
      <c r="D10" s="8">
        <v>10</v>
      </c>
      <c r="E10" s="8">
        <v>309</v>
      </c>
      <c r="F10" s="9">
        <v>1</v>
      </c>
      <c r="G10" s="9">
        <v>3</v>
      </c>
      <c r="H10" s="9">
        <v>1</v>
      </c>
      <c r="I10" s="41" t="s">
        <v>13</v>
      </c>
      <c r="J10" s="10" t="s">
        <v>38</v>
      </c>
      <c r="K10" s="11" t="s">
        <v>39</v>
      </c>
    </row>
    <row r="11" spans="1:11">
      <c r="A11" s="12" t="s">
        <v>40</v>
      </c>
      <c r="B11" s="13" t="s">
        <v>37</v>
      </c>
      <c r="C11" s="13">
        <v>2</v>
      </c>
      <c r="D11" s="13">
        <v>10</v>
      </c>
      <c r="E11" s="13">
        <v>309</v>
      </c>
      <c r="F11" s="14">
        <v>2</v>
      </c>
      <c r="G11" s="14">
        <v>3</v>
      </c>
      <c r="H11" s="14">
        <v>1</v>
      </c>
      <c r="I11" s="42" t="s">
        <v>13</v>
      </c>
      <c r="J11" s="15" t="s">
        <v>38</v>
      </c>
      <c r="K11" s="16" t="s">
        <v>41</v>
      </c>
    </row>
    <row r="12" spans="1:11">
      <c r="A12" s="12" t="s">
        <v>42</v>
      </c>
      <c r="B12" s="13" t="s">
        <v>37</v>
      </c>
      <c r="C12" s="13">
        <v>2</v>
      </c>
      <c r="D12" s="13">
        <v>10</v>
      </c>
      <c r="E12" s="13">
        <v>309</v>
      </c>
      <c r="F12" s="14">
        <v>3</v>
      </c>
      <c r="G12" s="14">
        <v>3</v>
      </c>
      <c r="H12" s="14">
        <v>1</v>
      </c>
      <c r="I12" s="42" t="s">
        <v>13</v>
      </c>
      <c r="J12" s="15" t="s">
        <v>43</v>
      </c>
      <c r="K12" s="16" t="s">
        <v>44</v>
      </c>
    </row>
    <row r="13" spans="1:11">
      <c r="A13" s="17" t="s">
        <v>45</v>
      </c>
      <c r="B13" s="18" t="s">
        <v>37</v>
      </c>
      <c r="C13" s="18">
        <v>2</v>
      </c>
      <c r="D13" s="18">
        <v>10</v>
      </c>
      <c r="E13" s="18">
        <v>309</v>
      </c>
      <c r="F13" s="19" t="s">
        <v>22</v>
      </c>
      <c r="G13" s="19">
        <v>3</v>
      </c>
      <c r="H13" s="19">
        <v>1</v>
      </c>
      <c r="I13" s="45" t="s">
        <v>13</v>
      </c>
      <c r="J13" s="20" t="s">
        <v>43</v>
      </c>
      <c r="K13" s="21" t="s">
        <v>46</v>
      </c>
    </row>
    <row r="14" spans="1:11">
      <c r="A14" s="25" t="s">
        <v>47</v>
      </c>
      <c r="B14" s="26" t="s">
        <v>37</v>
      </c>
      <c r="C14" s="26">
        <v>2</v>
      </c>
      <c r="D14" s="26">
        <v>10</v>
      </c>
      <c r="E14" s="26">
        <v>309</v>
      </c>
      <c r="F14" s="27">
        <v>1</v>
      </c>
      <c r="G14" s="27">
        <v>4</v>
      </c>
      <c r="H14" s="27">
        <v>2</v>
      </c>
      <c r="I14" s="44" t="s">
        <v>48</v>
      </c>
      <c r="J14" s="28" t="s">
        <v>49</v>
      </c>
      <c r="K14" s="29" t="s">
        <v>50</v>
      </c>
    </row>
    <row r="15" spans="1:11">
      <c r="A15" s="25" t="s">
        <v>36</v>
      </c>
      <c r="B15" s="26" t="s">
        <v>37</v>
      </c>
      <c r="C15" s="26">
        <v>2</v>
      </c>
      <c r="D15" s="26">
        <v>10</v>
      </c>
      <c r="E15" s="26">
        <v>309</v>
      </c>
      <c r="F15" s="27">
        <v>1</v>
      </c>
      <c r="G15" s="27">
        <v>4</v>
      </c>
      <c r="H15" s="27">
        <v>2</v>
      </c>
      <c r="I15" s="44" t="s">
        <v>48</v>
      </c>
      <c r="J15" s="28" t="s">
        <v>49</v>
      </c>
      <c r="K15" s="29" t="s">
        <v>51</v>
      </c>
    </row>
    <row r="16" spans="1:11">
      <c r="A16" s="25" t="s">
        <v>52</v>
      </c>
      <c r="B16" s="26" t="s">
        <v>37</v>
      </c>
      <c r="C16" s="26">
        <v>2</v>
      </c>
      <c r="D16" s="26">
        <v>10</v>
      </c>
      <c r="E16" s="26">
        <v>309</v>
      </c>
      <c r="F16" s="27">
        <v>2</v>
      </c>
      <c r="G16" s="27">
        <v>4</v>
      </c>
      <c r="H16" s="27">
        <v>2</v>
      </c>
      <c r="I16" s="44" t="s">
        <v>48</v>
      </c>
      <c r="J16" s="28" t="s">
        <v>49</v>
      </c>
      <c r="K16" s="29" t="s">
        <v>53</v>
      </c>
    </row>
    <row r="17" spans="1:11">
      <c r="A17" s="25" t="s">
        <v>40</v>
      </c>
      <c r="B17" s="26" t="s">
        <v>37</v>
      </c>
      <c r="C17" s="26">
        <v>2</v>
      </c>
      <c r="D17" s="26">
        <v>10</v>
      </c>
      <c r="E17" s="26">
        <v>309</v>
      </c>
      <c r="F17" s="27">
        <v>2</v>
      </c>
      <c r="G17" s="27">
        <v>4</v>
      </c>
      <c r="H17" s="27">
        <v>2</v>
      </c>
      <c r="I17" s="44" t="s">
        <v>48</v>
      </c>
      <c r="J17" s="28" t="s">
        <v>49</v>
      </c>
      <c r="K17" s="29" t="s">
        <v>54</v>
      </c>
    </row>
    <row r="18" spans="1:11">
      <c r="A18" s="25" t="s">
        <v>42</v>
      </c>
      <c r="B18" s="26" t="s">
        <v>37</v>
      </c>
      <c r="C18" s="26">
        <v>2</v>
      </c>
      <c r="D18" s="26">
        <v>10</v>
      </c>
      <c r="E18" s="26">
        <v>309</v>
      </c>
      <c r="F18" s="27">
        <v>3</v>
      </c>
      <c r="G18" s="27">
        <v>4</v>
      </c>
      <c r="H18" s="27">
        <v>2</v>
      </c>
      <c r="I18" s="44" t="s">
        <v>48</v>
      </c>
      <c r="J18" s="28" t="s">
        <v>49</v>
      </c>
      <c r="K18" s="29" t="s">
        <v>55</v>
      </c>
    </row>
    <row r="19" spans="1:11">
      <c r="A19" s="25" t="s">
        <v>45</v>
      </c>
      <c r="B19" s="26" t="s">
        <v>37</v>
      </c>
      <c r="C19" s="26">
        <v>2</v>
      </c>
      <c r="D19" s="26">
        <v>10</v>
      </c>
      <c r="E19" s="26">
        <v>309</v>
      </c>
      <c r="F19" s="27">
        <v>3</v>
      </c>
      <c r="G19" s="27">
        <v>4</v>
      </c>
      <c r="H19" s="27">
        <v>2</v>
      </c>
      <c r="I19" s="44" t="s">
        <v>48</v>
      </c>
      <c r="J19" s="28" t="s">
        <v>49</v>
      </c>
      <c r="K19" s="29" t="s">
        <v>55</v>
      </c>
    </row>
    <row r="20" spans="1:11">
      <c r="A20" s="25" t="s">
        <v>56</v>
      </c>
      <c r="B20" s="26" t="s">
        <v>34</v>
      </c>
      <c r="C20" s="26">
        <v>2</v>
      </c>
      <c r="D20" s="26">
        <v>22</v>
      </c>
      <c r="E20" s="26">
        <v>681</v>
      </c>
      <c r="F20" s="27">
        <v>3</v>
      </c>
      <c r="G20" s="27">
        <v>4</v>
      </c>
      <c r="H20" s="27">
        <v>2</v>
      </c>
      <c r="I20" s="44" t="s">
        <v>48</v>
      </c>
      <c r="J20" s="28" t="s">
        <v>49</v>
      </c>
      <c r="K20" s="29" t="s">
        <v>57</v>
      </c>
    </row>
    <row r="21" spans="1:11">
      <c r="A21" s="25" t="s">
        <v>58</v>
      </c>
      <c r="B21" s="26" t="s">
        <v>34</v>
      </c>
      <c r="C21" s="26">
        <v>2</v>
      </c>
      <c r="D21" s="26">
        <v>22</v>
      </c>
      <c r="E21" s="26">
        <v>681</v>
      </c>
      <c r="F21" s="27" t="s">
        <v>22</v>
      </c>
      <c r="G21" s="27">
        <v>4</v>
      </c>
      <c r="H21" s="27">
        <v>2</v>
      </c>
      <c r="I21" s="44" t="s">
        <v>48</v>
      </c>
      <c r="J21" s="28" t="s">
        <v>49</v>
      </c>
      <c r="K21" s="29" t="s">
        <v>59</v>
      </c>
    </row>
    <row r="22" spans="1:11">
      <c r="A22" s="7" t="s">
        <v>60</v>
      </c>
      <c r="B22" s="8" t="s">
        <v>34</v>
      </c>
      <c r="C22" s="8">
        <v>2</v>
      </c>
      <c r="D22" s="8">
        <v>22</v>
      </c>
      <c r="E22" s="8">
        <v>681</v>
      </c>
      <c r="F22" s="9">
        <v>1</v>
      </c>
      <c r="G22" s="9">
        <v>5</v>
      </c>
      <c r="H22" s="9">
        <v>3</v>
      </c>
      <c r="I22" s="41" t="s">
        <v>61</v>
      </c>
      <c r="J22" s="41" t="s">
        <v>62</v>
      </c>
      <c r="K22" s="11" t="s">
        <v>63</v>
      </c>
    </row>
    <row r="23" spans="1:11">
      <c r="A23" s="17" t="s">
        <v>58</v>
      </c>
      <c r="B23" s="18" t="s">
        <v>34</v>
      </c>
      <c r="C23" s="18">
        <v>2</v>
      </c>
      <c r="D23" s="18">
        <v>22</v>
      </c>
      <c r="E23" s="18">
        <v>681</v>
      </c>
      <c r="F23" s="19" t="s">
        <v>22</v>
      </c>
      <c r="G23" s="19">
        <v>5</v>
      </c>
      <c r="H23" s="19">
        <v>3</v>
      </c>
      <c r="I23" s="45" t="s">
        <v>61</v>
      </c>
      <c r="J23" s="45" t="s">
        <v>62</v>
      </c>
      <c r="K23" s="21" t="s">
        <v>64</v>
      </c>
    </row>
    <row r="24" spans="1:11">
      <c r="A24" s="7" t="s">
        <v>65</v>
      </c>
      <c r="B24" s="8" t="s">
        <v>34</v>
      </c>
      <c r="C24" s="8">
        <v>2</v>
      </c>
      <c r="D24" s="8">
        <v>22</v>
      </c>
      <c r="E24" s="8">
        <v>681</v>
      </c>
      <c r="F24" s="9">
        <v>1</v>
      </c>
      <c r="G24" s="9">
        <v>6</v>
      </c>
      <c r="H24" s="9">
        <v>3</v>
      </c>
      <c r="I24" s="41" t="s">
        <v>61</v>
      </c>
      <c r="J24" s="10" t="s">
        <v>66</v>
      </c>
      <c r="K24" s="11" t="s">
        <v>67</v>
      </c>
    </row>
    <row r="25" spans="1:11">
      <c r="A25" s="12" t="s">
        <v>68</v>
      </c>
      <c r="B25" s="13" t="s">
        <v>69</v>
      </c>
      <c r="C25" s="13">
        <v>2</v>
      </c>
      <c r="D25" s="13">
        <v>17</v>
      </c>
      <c r="E25" s="13">
        <v>526</v>
      </c>
      <c r="F25" s="14" t="s">
        <v>22</v>
      </c>
      <c r="G25" s="14">
        <v>6</v>
      </c>
      <c r="H25" s="14">
        <v>3</v>
      </c>
      <c r="I25" s="42" t="s">
        <v>61</v>
      </c>
      <c r="J25" s="15" t="s">
        <v>66</v>
      </c>
      <c r="K25" s="16" t="s">
        <v>70</v>
      </c>
    </row>
    <row r="26" spans="1:11">
      <c r="A26" s="7" t="s">
        <v>71</v>
      </c>
      <c r="B26" s="8" t="s">
        <v>25</v>
      </c>
      <c r="C26" s="8">
        <v>2</v>
      </c>
      <c r="D26" s="8">
        <v>10</v>
      </c>
      <c r="E26" s="8">
        <v>309</v>
      </c>
      <c r="F26" s="9">
        <v>1</v>
      </c>
      <c r="G26" s="9">
        <v>7</v>
      </c>
      <c r="H26" s="9">
        <v>3</v>
      </c>
      <c r="I26" s="41" t="s">
        <v>61</v>
      </c>
      <c r="J26" s="41" t="s">
        <v>72</v>
      </c>
      <c r="K26" s="11" t="s">
        <v>73</v>
      </c>
    </row>
    <row r="27" spans="1:11">
      <c r="A27" s="12" t="s">
        <v>74</v>
      </c>
      <c r="B27" s="13" t="s">
        <v>29</v>
      </c>
      <c r="C27" s="13">
        <v>3</v>
      </c>
      <c r="D27" s="13">
        <v>12</v>
      </c>
      <c r="E27" s="13">
        <v>371</v>
      </c>
      <c r="F27" s="14">
        <v>2</v>
      </c>
      <c r="G27" s="14">
        <v>7</v>
      </c>
      <c r="H27" s="14">
        <v>3</v>
      </c>
      <c r="I27" s="42" t="s">
        <v>61</v>
      </c>
      <c r="J27" s="42" t="s">
        <v>72</v>
      </c>
      <c r="K27" s="16" t="s">
        <v>75</v>
      </c>
    </row>
    <row r="28" spans="1:11">
      <c r="A28" s="12" t="s">
        <v>52</v>
      </c>
      <c r="B28" s="13" t="s">
        <v>37</v>
      </c>
      <c r="C28" s="13">
        <v>2</v>
      </c>
      <c r="D28" s="13">
        <v>10</v>
      </c>
      <c r="E28" s="13">
        <v>309</v>
      </c>
      <c r="F28" s="14" t="s">
        <v>22</v>
      </c>
      <c r="G28" s="14">
        <v>7</v>
      </c>
      <c r="H28" s="14">
        <v>3</v>
      </c>
      <c r="I28" s="42" t="s">
        <v>61</v>
      </c>
      <c r="J28" s="42" t="s">
        <v>72</v>
      </c>
      <c r="K28" s="16" t="s">
        <v>76</v>
      </c>
    </row>
    <row r="29" spans="1:11">
      <c r="A29" s="5" t="s">
        <v>11</v>
      </c>
      <c r="B29" s="6" t="s">
        <v>12</v>
      </c>
      <c r="C29" s="6">
        <v>2</v>
      </c>
      <c r="D29" s="6">
        <v>2</v>
      </c>
      <c r="E29" s="6">
        <v>61</v>
      </c>
      <c r="F29" s="22">
        <v>0</v>
      </c>
      <c r="G29" s="22">
        <v>8</v>
      </c>
      <c r="H29" s="22">
        <v>4</v>
      </c>
      <c r="I29" s="43" t="s">
        <v>77</v>
      </c>
      <c r="J29" s="23" t="s">
        <v>78</v>
      </c>
      <c r="K29" s="24" t="s">
        <v>79</v>
      </c>
    </row>
    <row r="30" spans="1:11">
      <c r="A30" s="25" t="s">
        <v>80</v>
      </c>
      <c r="B30" s="26" t="s">
        <v>69</v>
      </c>
      <c r="C30" s="26">
        <v>2</v>
      </c>
      <c r="D30" s="26">
        <v>4</v>
      </c>
      <c r="E30" s="26">
        <v>123</v>
      </c>
      <c r="F30" s="27">
        <v>0</v>
      </c>
      <c r="G30" s="27">
        <v>8</v>
      </c>
      <c r="H30" s="27">
        <v>4</v>
      </c>
      <c r="I30" s="44" t="s">
        <v>77</v>
      </c>
      <c r="J30" s="28" t="s">
        <v>78</v>
      </c>
      <c r="K30" s="29" t="s">
        <v>81</v>
      </c>
    </row>
    <row r="31" spans="1:11">
      <c r="A31" s="25" t="s">
        <v>82</v>
      </c>
      <c r="B31" s="26" t="s">
        <v>37</v>
      </c>
      <c r="C31" s="26">
        <v>2</v>
      </c>
      <c r="D31" s="26">
        <v>10</v>
      </c>
      <c r="E31" s="26">
        <v>309</v>
      </c>
      <c r="F31" s="27">
        <v>0</v>
      </c>
      <c r="G31" s="27">
        <v>8</v>
      </c>
      <c r="H31" s="27">
        <v>4</v>
      </c>
      <c r="I31" s="44" t="s">
        <v>77</v>
      </c>
      <c r="J31" s="28" t="s">
        <v>78</v>
      </c>
      <c r="K31" s="29" t="s">
        <v>83</v>
      </c>
    </row>
    <row r="32" spans="1:11">
      <c r="A32" s="25" t="s">
        <v>84</v>
      </c>
      <c r="B32" s="26" t="s">
        <v>25</v>
      </c>
      <c r="C32" s="26">
        <v>2</v>
      </c>
      <c r="D32" s="26">
        <v>30</v>
      </c>
      <c r="E32" s="26">
        <v>929</v>
      </c>
      <c r="F32" s="27">
        <v>0</v>
      </c>
      <c r="G32" s="27">
        <v>8</v>
      </c>
      <c r="H32" s="27">
        <v>4</v>
      </c>
      <c r="I32" s="44" t="s">
        <v>77</v>
      </c>
      <c r="J32" s="28" t="s">
        <v>78</v>
      </c>
      <c r="K32" s="29" t="s">
        <v>85</v>
      </c>
    </row>
    <row r="33" spans="1:11">
      <c r="A33" s="7" t="s">
        <v>16</v>
      </c>
      <c r="B33" s="8" t="s">
        <v>12</v>
      </c>
      <c r="C33" s="8">
        <v>2</v>
      </c>
      <c r="D33" s="8">
        <v>2</v>
      </c>
      <c r="E33" s="8">
        <v>61</v>
      </c>
      <c r="F33" s="9">
        <v>1</v>
      </c>
      <c r="G33" s="9">
        <v>8</v>
      </c>
      <c r="H33" s="9">
        <v>4</v>
      </c>
      <c r="I33" s="41" t="s">
        <v>77</v>
      </c>
      <c r="J33" s="10" t="s">
        <v>86</v>
      </c>
      <c r="K33" s="11" t="s">
        <v>87</v>
      </c>
    </row>
    <row r="34" spans="1:11">
      <c r="A34" s="12" t="s">
        <v>88</v>
      </c>
      <c r="B34" s="13" t="s">
        <v>29</v>
      </c>
      <c r="C34" s="13">
        <v>3</v>
      </c>
      <c r="D34" s="13">
        <v>12</v>
      </c>
      <c r="E34" s="13">
        <v>371</v>
      </c>
      <c r="F34" s="14">
        <v>2</v>
      </c>
      <c r="G34" s="14">
        <v>8</v>
      </c>
      <c r="H34" s="14">
        <v>4</v>
      </c>
      <c r="I34" s="42" t="s">
        <v>77</v>
      </c>
      <c r="J34" s="15" t="s">
        <v>86</v>
      </c>
      <c r="K34" s="16" t="s">
        <v>89</v>
      </c>
    </row>
    <row r="35" spans="1:11">
      <c r="A35" s="12" t="s">
        <v>71</v>
      </c>
      <c r="B35" s="13" t="s">
        <v>25</v>
      </c>
      <c r="C35" s="13">
        <v>2</v>
      </c>
      <c r="D35" s="13">
        <v>10</v>
      </c>
      <c r="E35" s="13">
        <v>309</v>
      </c>
      <c r="F35" s="14">
        <v>3</v>
      </c>
      <c r="G35" s="14">
        <v>8</v>
      </c>
      <c r="H35" s="14">
        <v>4</v>
      </c>
      <c r="I35" s="42" t="s">
        <v>77</v>
      </c>
      <c r="J35" s="15" t="s">
        <v>86</v>
      </c>
      <c r="K35" s="16" t="s">
        <v>90</v>
      </c>
    </row>
    <row r="36" spans="1:11">
      <c r="A36" s="12" t="s">
        <v>74</v>
      </c>
      <c r="B36" s="13" t="s">
        <v>29</v>
      </c>
      <c r="C36" s="13">
        <v>3</v>
      </c>
      <c r="D36" s="13">
        <v>12</v>
      </c>
      <c r="E36" s="13">
        <v>371</v>
      </c>
      <c r="F36" s="14">
        <v>3</v>
      </c>
      <c r="G36" s="14">
        <v>8</v>
      </c>
      <c r="H36" s="14">
        <v>4</v>
      </c>
      <c r="I36" s="42" t="s">
        <v>77</v>
      </c>
      <c r="J36" s="15" t="s">
        <v>86</v>
      </c>
      <c r="K36" s="16" t="s">
        <v>91</v>
      </c>
    </row>
    <row r="37" spans="1:11">
      <c r="A37" s="12" t="s">
        <v>31</v>
      </c>
      <c r="B37" s="13" t="s">
        <v>29</v>
      </c>
      <c r="C37" s="13">
        <v>3</v>
      </c>
      <c r="D37" s="13">
        <v>12</v>
      </c>
      <c r="E37" s="13">
        <v>371</v>
      </c>
      <c r="F37" s="14" t="s">
        <v>22</v>
      </c>
      <c r="G37" s="14">
        <v>8</v>
      </c>
      <c r="H37" s="14">
        <v>4</v>
      </c>
      <c r="I37" s="42" t="s">
        <v>77</v>
      </c>
      <c r="J37" s="15" t="s">
        <v>86</v>
      </c>
      <c r="K37" s="16" t="s">
        <v>92</v>
      </c>
    </row>
    <row r="38" spans="1:11">
      <c r="A38" s="5" t="s">
        <v>93</v>
      </c>
      <c r="B38" s="6" t="s">
        <v>25</v>
      </c>
      <c r="C38" s="6">
        <v>2</v>
      </c>
      <c r="D38" s="6">
        <v>30</v>
      </c>
      <c r="E38" s="6">
        <v>929</v>
      </c>
      <c r="F38" s="22">
        <v>1</v>
      </c>
      <c r="G38" s="22">
        <v>9</v>
      </c>
      <c r="H38" s="22">
        <v>4</v>
      </c>
      <c r="I38" s="43" t="s">
        <v>77</v>
      </c>
      <c r="J38" s="23" t="s">
        <v>94</v>
      </c>
      <c r="K38" s="24" t="s">
        <v>95</v>
      </c>
    </row>
    <row r="39" spans="1:11">
      <c r="A39" s="25" t="s">
        <v>96</v>
      </c>
      <c r="B39" s="26" t="s">
        <v>29</v>
      </c>
      <c r="C39" s="26">
        <v>3</v>
      </c>
      <c r="D39" s="26">
        <v>22</v>
      </c>
      <c r="E39" s="26">
        <v>681</v>
      </c>
      <c r="F39" s="27">
        <v>2</v>
      </c>
      <c r="G39" s="27">
        <v>9</v>
      </c>
      <c r="H39" s="27">
        <v>4</v>
      </c>
      <c r="I39" s="44" t="s">
        <v>77</v>
      </c>
      <c r="J39" s="28" t="s">
        <v>94</v>
      </c>
      <c r="K39" s="29" t="s">
        <v>97</v>
      </c>
    </row>
    <row r="40" spans="1:11">
      <c r="A40" s="30" t="s">
        <v>56</v>
      </c>
      <c r="B40" s="31" t="s">
        <v>34</v>
      </c>
      <c r="C40" s="31">
        <v>2</v>
      </c>
      <c r="D40" s="31">
        <v>22</v>
      </c>
      <c r="E40" s="31">
        <v>681</v>
      </c>
      <c r="F40" s="32" t="s">
        <v>22</v>
      </c>
      <c r="G40" s="32">
        <v>9</v>
      </c>
      <c r="H40" s="32">
        <v>4</v>
      </c>
      <c r="I40" s="46" t="s">
        <v>77</v>
      </c>
      <c r="J40" s="33" t="s">
        <v>94</v>
      </c>
      <c r="K40" s="34" t="s">
        <v>98</v>
      </c>
    </row>
    <row r="41" spans="1:11">
      <c r="A41" s="12" t="s">
        <v>84</v>
      </c>
      <c r="B41" s="13" t="s">
        <v>25</v>
      </c>
      <c r="C41" s="13">
        <v>2</v>
      </c>
      <c r="D41" s="13">
        <v>30</v>
      </c>
      <c r="E41" s="13">
        <v>929</v>
      </c>
      <c r="F41" s="14">
        <v>30</v>
      </c>
      <c r="G41" s="14"/>
      <c r="H41" s="14" t="s">
        <v>3</v>
      </c>
      <c r="I41" s="42" t="s">
        <v>99</v>
      </c>
      <c r="J41" s="15" t="s">
        <v>100</v>
      </c>
      <c r="K41" s="16" t="s">
        <v>101</v>
      </c>
    </row>
    <row r="42" spans="1:11">
      <c r="A42" s="12" t="s">
        <v>93</v>
      </c>
      <c r="B42" s="13" t="s">
        <v>25</v>
      </c>
      <c r="C42" s="13">
        <v>2</v>
      </c>
      <c r="D42" s="13">
        <v>30</v>
      </c>
      <c r="E42" s="13">
        <v>929</v>
      </c>
      <c r="F42" s="14">
        <v>30</v>
      </c>
      <c r="G42" s="14"/>
      <c r="H42" s="14" t="s">
        <v>3</v>
      </c>
      <c r="I42" s="42" t="s">
        <v>99</v>
      </c>
      <c r="J42" s="15" t="s">
        <v>100</v>
      </c>
      <c r="K42" s="16" t="s">
        <v>101</v>
      </c>
    </row>
    <row r="43" spans="1:11">
      <c r="A43" s="12" t="s">
        <v>24</v>
      </c>
      <c r="B43" s="13" t="s">
        <v>25</v>
      </c>
      <c r="C43" s="13">
        <v>2</v>
      </c>
      <c r="D43" s="13">
        <v>10</v>
      </c>
      <c r="E43" s="13">
        <v>309</v>
      </c>
      <c r="F43" s="14">
        <v>10</v>
      </c>
      <c r="G43" s="14"/>
      <c r="H43" s="14" t="s">
        <v>3</v>
      </c>
      <c r="I43" s="42" t="s">
        <v>99</v>
      </c>
      <c r="J43" s="15" t="s">
        <v>100</v>
      </c>
      <c r="K43" s="16" t="s">
        <v>101</v>
      </c>
    </row>
    <row r="44" spans="1:11">
      <c r="A44" s="12" t="s">
        <v>71</v>
      </c>
      <c r="B44" s="13" t="s">
        <v>25</v>
      </c>
      <c r="C44" s="13">
        <v>2</v>
      </c>
      <c r="D44" s="13">
        <v>10</v>
      </c>
      <c r="E44" s="13">
        <v>309</v>
      </c>
      <c r="F44" s="14">
        <v>10</v>
      </c>
      <c r="G44" s="14"/>
      <c r="H44" s="14" t="s">
        <v>3</v>
      </c>
      <c r="I44" s="42" t="s">
        <v>99</v>
      </c>
      <c r="J44" s="15" t="s">
        <v>100</v>
      </c>
      <c r="K44" s="16" t="s">
        <v>101</v>
      </c>
    </row>
    <row r="45" spans="1:11">
      <c r="A45" s="12" t="s">
        <v>28</v>
      </c>
      <c r="B45" s="13" t="s">
        <v>29</v>
      </c>
      <c r="C45" s="13">
        <v>3</v>
      </c>
      <c r="D45" s="13">
        <v>7</v>
      </c>
      <c r="E45" s="13">
        <v>216</v>
      </c>
      <c r="F45" s="14">
        <v>7</v>
      </c>
      <c r="G45" s="14"/>
      <c r="H45" s="14" t="s">
        <v>3</v>
      </c>
      <c r="I45" s="42" t="s">
        <v>99</v>
      </c>
      <c r="J45" s="15" t="s">
        <v>100</v>
      </c>
      <c r="K45" s="16" t="s">
        <v>101</v>
      </c>
    </row>
    <row r="46" spans="1:11">
      <c r="A46" s="12" t="s">
        <v>88</v>
      </c>
      <c r="B46" s="13" t="s">
        <v>29</v>
      </c>
      <c r="C46" s="13">
        <v>3</v>
      </c>
      <c r="D46" s="13">
        <v>12</v>
      </c>
      <c r="E46" s="13">
        <v>371</v>
      </c>
      <c r="F46" s="14">
        <v>12</v>
      </c>
      <c r="G46" s="14"/>
      <c r="H46" s="14" t="s">
        <v>3</v>
      </c>
      <c r="I46" s="42" t="s">
        <v>99</v>
      </c>
      <c r="J46" s="15" t="s">
        <v>100</v>
      </c>
      <c r="K46" s="16" t="s">
        <v>101</v>
      </c>
    </row>
    <row r="47" spans="1:11">
      <c r="A47" s="12" t="s">
        <v>31</v>
      </c>
      <c r="B47" s="13" t="s">
        <v>29</v>
      </c>
      <c r="C47" s="13">
        <v>3</v>
      </c>
      <c r="D47" s="13">
        <v>12</v>
      </c>
      <c r="E47" s="13">
        <v>371</v>
      </c>
      <c r="F47" s="14">
        <v>12</v>
      </c>
      <c r="G47" s="14"/>
      <c r="H47" s="14" t="s">
        <v>3</v>
      </c>
      <c r="I47" s="42" t="s">
        <v>99</v>
      </c>
      <c r="J47" s="15" t="s">
        <v>100</v>
      </c>
      <c r="K47" s="16" t="s">
        <v>101</v>
      </c>
    </row>
    <row r="48" spans="1:11">
      <c r="A48" s="12" t="s">
        <v>74</v>
      </c>
      <c r="B48" s="13" t="s">
        <v>29</v>
      </c>
      <c r="C48" s="13">
        <v>3</v>
      </c>
      <c r="D48" s="13">
        <v>12</v>
      </c>
      <c r="E48" s="13">
        <v>371</v>
      </c>
      <c r="F48" s="14">
        <v>12</v>
      </c>
      <c r="G48" s="14"/>
      <c r="H48" s="14" t="s">
        <v>3</v>
      </c>
      <c r="I48" s="42" t="s">
        <v>99</v>
      </c>
      <c r="J48" s="15" t="s">
        <v>100</v>
      </c>
      <c r="K48" s="16" t="s">
        <v>101</v>
      </c>
    </row>
    <row r="49" spans="1:11">
      <c r="A49" s="12" t="s">
        <v>96</v>
      </c>
      <c r="B49" s="13" t="s">
        <v>29</v>
      </c>
      <c r="C49" s="13">
        <v>3</v>
      </c>
      <c r="D49" s="13">
        <v>22</v>
      </c>
      <c r="E49" s="13">
        <v>681</v>
      </c>
      <c r="F49" s="14">
        <v>22</v>
      </c>
      <c r="G49" s="14"/>
      <c r="H49" s="14" t="s">
        <v>3</v>
      </c>
      <c r="I49" s="42" t="s">
        <v>99</v>
      </c>
      <c r="J49" s="15" t="s">
        <v>100</v>
      </c>
      <c r="K49" s="16" t="s">
        <v>101</v>
      </c>
    </row>
    <row r="50" spans="1:11">
      <c r="A50" s="12" t="s">
        <v>65</v>
      </c>
      <c r="B50" s="13" t="s">
        <v>34</v>
      </c>
      <c r="C50" s="13">
        <v>2</v>
      </c>
      <c r="D50" s="13">
        <v>22</v>
      </c>
      <c r="E50" s="13">
        <v>681</v>
      </c>
      <c r="F50" s="14">
        <v>22</v>
      </c>
      <c r="G50" s="14"/>
      <c r="H50" s="14" t="s">
        <v>3</v>
      </c>
      <c r="I50" s="42" t="s">
        <v>99</v>
      </c>
      <c r="J50" s="15" t="s">
        <v>100</v>
      </c>
      <c r="K50" s="16" t="s">
        <v>101</v>
      </c>
    </row>
    <row r="51" spans="1:11">
      <c r="A51" s="12" t="s">
        <v>56</v>
      </c>
      <c r="B51" s="13" t="s">
        <v>34</v>
      </c>
      <c r="C51" s="13">
        <v>2</v>
      </c>
      <c r="D51" s="13">
        <v>22</v>
      </c>
      <c r="E51" s="13">
        <v>681</v>
      </c>
      <c r="F51" s="14">
        <v>22</v>
      </c>
      <c r="G51" s="14"/>
      <c r="H51" s="14" t="s">
        <v>3</v>
      </c>
      <c r="I51" s="42" t="s">
        <v>99</v>
      </c>
      <c r="J51" s="15" t="s">
        <v>100</v>
      </c>
      <c r="K51" s="16" t="s">
        <v>101</v>
      </c>
    </row>
    <row r="52" spans="1:11">
      <c r="A52" s="12" t="s">
        <v>33</v>
      </c>
      <c r="B52" s="13" t="s">
        <v>34</v>
      </c>
      <c r="C52" s="13">
        <v>2</v>
      </c>
      <c r="D52" s="13">
        <v>22</v>
      </c>
      <c r="E52" s="13">
        <v>681</v>
      </c>
      <c r="F52" s="14">
        <v>22</v>
      </c>
      <c r="G52" s="14"/>
      <c r="H52" s="14" t="s">
        <v>3</v>
      </c>
      <c r="I52" s="42" t="s">
        <v>99</v>
      </c>
      <c r="J52" s="15" t="s">
        <v>100</v>
      </c>
      <c r="K52" s="16" t="s">
        <v>101</v>
      </c>
    </row>
    <row r="53" spans="1:11">
      <c r="A53" s="12" t="s">
        <v>60</v>
      </c>
      <c r="B53" s="13" t="s">
        <v>34</v>
      </c>
      <c r="C53" s="13">
        <v>2</v>
      </c>
      <c r="D53" s="13">
        <v>22</v>
      </c>
      <c r="E53" s="13">
        <v>681</v>
      </c>
      <c r="F53" s="14">
        <v>22</v>
      </c>
      <c r="G53" s="14"/>
      <c r="H53" s="14" t="s">
        <v>3</v>
      </c>
      <c r="I53" s="42" t="s">
        <v>99</v>
      </c>
      <c r="J53" s="15" t="s">
        <v>100</v>
      </c>
      <c r="K53" s="16" t="s">
        <v>101</v>
      </c>
    </row>
    <row r="54" spans="1:11">
      <c r="A54" s="12" t="s">
        <v>58</v>
      </c>
      <c r="B54" s="13" t="s">
        <v>34</v>
      </c>
      <c r="C54" s="13">
        <v>2</v>
      </c>
      <c r="D54" s="13">
        <v>22</v>
      </c>
      <c r="E54" s="13">
        <v>681</v>
      </c>
      <c r="F54" s="14">
        <v>22</v>
      </c>
      <c r="G54" s="14"/>
      <c r="H54" s="14" t="s">
        <v>3</v>
      </c>
      <c r="I54" s="42" t="s">
        <v>99</v>
      </c>
      <c r="J54" s="15" t="s">
        <v>100</v>
      </c>
      <c r="K54" s="16" t="s">
        <v>101</v>
      </c>
    </row>
    <row r="55" spans="1:11">
      <c r="A55" s="12" t="s">
        <v>11</v>
      </c>
      <c r="B55" s="13" t="s">
        <v>12</v>
      </c>
      <c r="C55" s="13">
        <v>2</v>
      </c>
      <c r="D55" s="13">
        <v>2</v>
      </c>
      <c r="E55" s="13">
        <v>61</v>
      </c>
      <c r="F55" s="14">
        <v>2</v>
      </c>
      <c r="G55" s="14"/>
      <c r="H55" s="14" t="s">
        <v>3</v>
      </c>
      <c r="I55" s="42" t="s">
        <v>99</v>
      </c>
      <c r="J55" s="15" t="s">
        <v>100</v>
      </c>
      <c r="K55" s="16" t="s">
        <v>101</v>
      </c>
    </row>
    <row r="56" spans="1:11">
      <c r="A56" s="12" t="s">
        <v>16</v>
      </c>
      <c r="B56" s="13" t="s">
        <v>12</v>
      </c>
      <c r="C56" s="13">
        <v>2</v>
      </c>
      <c r="D56" s="13">
        <v>2</v>
      </c>
      <c r="E56" s="13">
        <v>61</v>
      </c>
      <c r="F56" s="14">
        <v>2</v>
      </c>
      <c r="G56" s="14"/>
      <c r="H56" s="14" t="s">
        <v>3</v>
      </c>
      <c r="I56" s="42" t="s">
        <v>99</v>
      </c>
      <c r="J56" s="15" t="s">
        <v>100</v>
      </c>
      <c r="K56" s="16" t="s">
        <v>101</v>
      </c>
    </row>
    <row r="57" spans="1:11">
      <c r="A57" s="12" t="s">
        <v>18</v>
      </c>
      <c r="B57" s="13" t="s">
        <v>12</v>
      </c>
      <c r="C57" s="13">
        <v>2</v>
      </c>
      <c r="D57" s="13">
        <v>2</v>
      </c>
      <c r="E57" s="13">
        <v>61</v>
      </c>
      <c r="F57" s="14">
        <v>2</v>
      </c>
      <c r="G57" s="14"/>
      <c r="H57" s="14" t="s">
        <v>3</v>
      </c>
      <c r="I57" s="42" t="s">
        <v>99</v>
      </c>
      <c r="J57" s="15" t="s">
        <v>100</v>
      </c>
      <c r="K57" s="16" t="s">
        <v>101</v>
      </c>
    </row>
    <row r="58" spans="1:11">
      <c r="A58" s="12" t="s">
        <v>21</v>
      </c>
      <c r="B58" s="13" t="s">
        <v>12</v>
      </c>
      <c r="C58" s="13">
        <v>3</v>
      </c>
      <c r="D58" s="13">
        <v>20</v>
      </c>
      <c r="E58" s="13">
        <v>619</v>
      </c>
      <c r="F58" s="14">
        <v>20</v>
      </c>
      <c r="G58" s="14"/>
      <c r="H58" s="14" t="s">
        <v>3</v>
      </c>
      <c r="I58" s="42" t="s">
        <v>99</v>
      </c>
      <c r="J58" s="15" t="s">
        <v>100</v>
      </c>
      <c r="K58" s="16" t="s">
        <v>101</v>
      </c>
    </row>
    <row r="59" spans="1:11">
      <c r="A59" s="12" t="s">
        <v>82</v>
      </c>
      <c r="B59" s="13" t="s">
        <v>37</v>
      </c>
      <c r="C59" s="13">
        <v>2</v>
      </c>
      <c r="D59" s="13">
        <v>10</v>
      </c>
      <c r="E59" s="13">
        <v>309</v>
      </c>
      <c r="F59" s="14">
        <v>10</v>
      </c>
      <c r="G59" s="14"/>
      <c r="H59" s="14" t="s">
        <v>3</v>
      </c>
      <c r="I59" s="42" t="s">
        <v>99</v>
      </c>
      <c r="J59" s="15" t="s">
        <v>100</v>
      </c>
      <c r="K59" s="16" t="s">
        <v>101</v>
      </c>
    </row>
    <row r="60" spans="1:11">
      <c r="A60" s="12" t="s">
        <v>47</v>
      </c>
      <c r="B60" s="13" t="s">
        <v>37</v>
      </c>
      <c r="C60" s="13">
        <v>2</v>
      </c>
      <c r="D60" s="13">
        <v>10</v>
      </c>
      <c r="E60" s="13">
        <v>309</v>
      </c>
      <c r="F60" s="14">
        <v>10</v>
      </c>
      <c r="G60" s="14"/>
      <c r="H60" s="14" t="s">
        <v>3</v>
      </c>
      <c r="I60" s="42" t="s">
        <v>99</v>
      </c>
      <c r="J60" s="15" t="s">
        <v>100</v>
      </c>
      <c r="K60" s="16" t="s">
        <v>101</v>
      </c>
    </row>
    <row r="61" spans="1:11">
      <c r="A61" s="12" t="s">
        <v>36</v>
      </c>
      <c r="B61" s="13" t="s">
        <v>37</v>
      </c>
      <c r="C61" s="13">
        <v>2</v>
      </c>
      <c r="D61" s="13">
        <v>10</v>
      </c>
      <c r="E61" s="13">
        <v>309</v>
      </c>
      <c r="F61" s="14">
        <v>10</v>
      </c>
      <c r="G61" s="14"/>
      <c r="H61" s="14" t="s">
        <v>3</v>
      </c>
      <c r="I61" s="42" t="s">
        <v>99</v>
      </c>
      <c r="J61" s="15" t="s">
        <v>100</v>
      </c>
      <c r="K61" s="16" t="s">
        <v>101</v>
      </c>
    </row>
    <row r="62" spans="1:11">
      <c r="A62" s="12" t="s">
        <v>52</v>
      </c>
      <c r="B62" s="13" t="s">
        <v>37</v>
      </c>
      <c r="C62" s="13">
        <v>2</v>
      </c>
      <c r="D62" s="13">
        <v>10</v>
      </c>
      <c r="E62" s="13">
        <v>309</v>
      </c>
      <c r="F62" s="14">
        <v>10</v>
      </c>
      <c r="G62" s="14"/>
      <c r="H62" s="14" t="s">
        <v>3</v>
      </c>
      <c r="I62" s="42" t="s">
        <v>99</v>
      </c>
      <c r="J62" s="15" t="s">
        <v>100</v>
      </c>
      <c r="K62" s="16" t="s">
        <v>101</v>
      </c>
    </row>
    <row r="63" spans="1:11">
      <c r="A63" s="12" t="s">
        <v>40</v>
      </c>
      <c r="B63" s="13" t="s">
        <v>37</v>
      </c>
      <c r="C63" s="13">
        <v>2</v>
      </c>
      <c r="D63" s="13">
        <v>10</v>
      </c>
      <c r="E63" s="13">
        <v>309</v>
      </c>
      <c r="F63" s="14">
        <v>10</v>
      </c>
      <c r="G63" s="14"/>
      <c r="H63" s="14" t="s">
        <v>3</v>
      </c>
      <c r="I63" s="42" t="s">
        <v>99</v>
      </c>
      <c r="J63" s="15" t="s">
        <v>100</v>
      </c>
      <c r="K63" s="16" t="s">
        <v>101</v>
      </c>
    </row>
    <row r="64" spans="1:11">
      <c r="A64" s="12" t="s">
        <v>42</v>
      </c>
      <c r="B64" s="13" t="s">
        <v>37</v>
      </c>
      <c r="C64" s="13">
        <v>2</v>
      </c>
      <c r="D64" s="13">
        <v>10</v>
      </c>
      <c r="E64" s="13">
        <v>309</v>
      </c>
      <c r="F64" s="14">
        <v>10</v>
      </c>
      <c r="G64" s="14"/>
      <c r="H64" s="14" t="s">
        <v>3</v>
      </c>
      <c r="I64" s="42" t="s">
        <v>99</v>
      </c>
      <c r="J64" s="15" t="s">
        <v>100</v>
      </c>
      <c r="K64" s="16" t="s">
        <v>101</v>
      </c>
    </row>
    <row r="65" spans="1:11">
      <c r="A65" s="12" t="s">
        <v>45</v>
      </c>
      <c r="B65" s="13" t="s">
        <v>37</v>
      </c>
      <c r="C65" s="13">
        <v>2</v>
      </c>
      <c r="D65" s="13">
        <v>10</v>
      </c>
      <c r="E65" s="13">
        <v>309</v>
      </c>
      <c r="F65" s="14">
        <v>10</v>
      </c>
      <c r="G65" s="14"/>
      <c r="H65" s="14" t="s">
        <v>3</v>
      </c>
      <c r="I65" s="42" t="s">
        <v>99</v>
      </c>
      <c r="J65" s="15" t="s">
        <v>100</v>
      </c>
      <c r="K65" s="16" t="s">
        <v>101</v>
      </c>
    </row>
    <row r="66" spans="1:11">
      <c r="A66" s="12" t="s">
        <v>80</v>
      </c>
      <c r="B66" s="13" t="s">
        <v>69</v>
      </c>
      <c r="C66" s="13">
        <v>2</v>
      </c>
      <c r="D66" s="13">
        <v>4</v>
      </c>
      <c r="E66" s="13">
        <v>123</v>
      </c>
      <c r="F66" s="14">
        <v>4</v>
      </c>
      <c r="G66" s="14"/>
      <c r="H66" s="14" t="s">
        <v>3</v>
      </c>
      <c r="I66" s="42" t="s">
        <v>99</v>
      </c>
      <c r="J66" s="15" t="s">
        <v>100</v>
      </c>
      <c r="K66" s="16" t="s">
        <v>101</v>
      </c>
    </row>
    <row r="67" spans="1:11">
      <c r="A67" s="12" t="s">
        <v>68</v>
      </c>
      <c r="B67" s="13" t="s">
        <v>69</v>
      </c>
      <c r="C67" s="13">
        <v>2</v>
      </c>
      <c r="D67" s="13">
        <v>17</v>
      </c>
      <c r="E67" s="13">
        <v>526</v>
      </c>
      <c r="F67" s="14">
        <v>17</v>
      </c>
      <c r="G67" s="14"/>
      <c r="H67" s="14" t="s">
        <v>3</v>
      </c>
      <c r="I67" s="42" t="s">
        <v>99</v>
      </c>
      <c r="J67" s="15" t="s">
        <v>100</v>
      </c>
      <c r="K67" s="16" t="s">
        <v>101</v>
      </c>
    </row>
    <row r="68" spans="1:11">
      <c r="A68" s="17" t="s">
        <v>102</v>
      </c>
      <c r="B68" s="18" t="s">
        <v>69</v>
      </c>
      <c r="C68" s="18">
        <v>3</v>
      </c>
      <c r="D68" s="18">
        <v>40</v>
      </c>
      <c r="E68" s="18">
        <v>1239</v>
      </c>
      <c r="F68" s="19">
        <v>40</v>
      </c>
      <c r="G68" s="19"/>
      <c r="H68" s="19" t="s">
        <v>3</v>
      </c>
      <c r="I68" s="45" t="s">
        <v>99</v>
      </c>
      <c r="J68" s="20" t="s">
        <v>100</v>
      </c>
      <c r="K68" s="2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F46F-76C9-4A19-A36D-E1C78B764E67}">
  <dimension ref="A1:D29"/>
  <sheetViews>
    <sheetView workbookViewId="0">
      <selection activeCell="C13" sqref="C13"/>
    </sheetView>
  </sheetViews>
  <sheetFormatPr defaultRowHeight="15"/>
  <sheetData>
    <row r="1" spans="1:4">
      <c r="A1" t="s">
        <v>0</v>
      </c>
      <c r="C1" t="s">
        <v>103</v>
      </c>
      <c r="D1" t="s">
        <v>104</v>
      </c>
    </row>
    <row r="2" spans="1:4">
      <c r="A2" s="1" t="s">
        <v>11</v>
      </c>
      <c r="B2">
        <f>COUNTIFS(Planilha1!$A$2:$A$40,A2)</f>
        <v>2</v>
      </c>
      <c r="C2">
        <f>COUNTIFS(Planilha1!$A$2:$A$28,A2)</f>
        <v>1</v>
      </c>
      <c r="D2">
        <f>COUNTIFS(Planilha1!$A$29:$A$40,A2)</f>
        <v>1</v>
      </c>
    </row>
    <row r="3" spans="1:4">
      <c r="A3" s="2" t="s">
        <v>16</v>
      </c>
      <c r="B3">
        <f>COUNTIFS(Planilha1!$A$2:$A$40,A3)</f>
        <v>2</v>
      </c>
      <c r="C3">
        <f>COUNTIFS(Planilha1!$A$2:$A$28,A3)</f>
        <v>1</v>
      </c>
      <c r="D3">
        <f>COUNTIFS(Planilha1!$A$29:$A$40,A3)</f>
        <v>1</v>
      </c>
    </row>
    <row r="4" spans="1:4">
      <c r="A4" s="2" t="s">
        <v>18</v>
      </c>
      <c r="B4">
        <f>COUNTIFS(Planilha1!$A$2:$A$40,A4)</f>
        <v>1</v>
      </c>
      <c r="C4">
        <f>COUNTIFS(Planilha1!$A$2:$A$28,A4)</f>
        <v>1</v>
      </c>
      <c r="D4">
        <f>COUNTIFS(Planilha1!$A$29:$A$40,A4)</f>
        <v>0</v>
      </c>
    </row>
    <row r="5" spans="1:4">
      <c r="A5" s="2" t="s">
        <v>21</v>
      </c>
      <c r="B5">
        <f>COUNTIFS(Planilha1!$A$2:$A$40,A5)</f>
        <v>1</v>
      </c>
      <c r="C5">
        <f>COUNTIFS(Planilha1!$A$2:$A$28,A5)</f>
        <v>1</v>
      </c>
      <c r="D5">
        <f>COUNTIFS(Planilha1!$A$29:$A$40,A5)</f>
        <v>0</v>
      </c>
    </row>
    <row r="6" spans="1:4">
      <c r="A6" s="1" t="s">
        <v>24</v>
      </c>
      <c r="B6">
        <f>COUNTIFS(Planilha1!$A$2:$A$40,A6)</f>
        <v>1</v>
      </c>
      <c r="C6">
        <f>COUNTIFS(Planilha1!$A$2:$A$28,A6)</f>
        <v>1</v>
      </c>
      <c r="D6">
        <f>COUNTIFS(Planilha1!$A$29:$A$40,A6)</f>
        <v>0</v>
      </c>
    </row>
    <row r="7" spans="1:4">
      <c r="A7" s="2" t="s">
        <v>28</v>
      </c>
      <c r="B7">
        <f>COUNTIFS(Planilha1!$A$2:$A$40,A7)</f>
        <v>1</v>
      </c>
      <c r="C7">
        <f>COUNTIFS(Planilha1!$A$2:$A$28,A7)</f>
        <v>1</v>
      </c>
      <c r="D7">
        <f>COUNTIFS(Planilha1!$A$29:$A$40,A7)</f>
        <v>0</v>
      </c>
    </row>
    <row r="8" spans="1:4">
      <c r="A8" s="2" t="s">
        <v>31</v>
      </c>
      <c r="B8">
        <f>COUNTIFS(Planilha1!$A$2:$A$40,A8)</f>
        <v>2</v>
      </c>
      <c r="C8">
        <f>COUNTIFS(Planilha1!$A$2:$A$28,A8)</f>
        <v>1</v>
      </c>
      <c r="D8">
        <f>COUNTIFS(Planilha1!$A$29:$A$40,A8)</f>
        <v>1</v>
      </c>
    </row>
    <row r="9" spans="1:4">
      <c r="A9" s="2" t="s">
        <v>33</v>
      </c>
      <c r="B9">
        <f>COUNTIFS(Planilha1!$A$2:$A$40,A9)</f>
        <v>1</v>
      </c>
      <c r="C9">
        <f>COUNTIFS(Planilha1!$A$2:$A$28,A9)</f>
        <v>1</v>
      </c>
      <c r="D9">
        <f>COUNTIFS(Planilha1!$A$29:$A$40,A9)</f>
        <v>0</v>
      </c>
    </row>
    <row r="10" spans="1:4">
      <c r="A10" s="1" t="s">
        <v>36</v>
      </c>
      <c r="B10">
        <f>COUNTIFS(Planilha1!$A$2:$A$40,A10)</f>
        <v>2</v>
      </c>
      <c r="C10">
        <f>COUNTIFS(Planilha1!$A$2:$A$28,A10)</f>
        <v>2</v>
      </c>
      <c r="D10">
        <f>COUNTIFS(Planilha1!$A$29:$A$40,A10)</f>
        <v>0</v>
      </c>
    </row>
    <row r="11" spans="1:4">
      <c r="A11" s="2" t="s">
        <v>40</v>
      </c>
      <c r="B11">
        <f>COUNTIFS(Planilha1!$A$2:$A$40,A11)</f>
        <v>2</v>
      </c>
      <c r="C11">
        <f>COUNTIFS(Planilha1!$A$2:$A$28,A11)</f>
        <v>2</v>
      </c>
      <c r="D11">
        <f>COUNTIFS(Planilha1!$A$29:$A$40,A11)</f>
        <v>0</v>
      </c>
    </row>
    <row r="12" spans="1:4">
      <c r="A12" s="2" t="s">
        <v>42</v>
      </c>
      <c r="B12">
        <f>COUNTIFS(Planilha1!$A$2:$A$40,A12)</f>
        <v>2</v>
      </c>
      <c r="C12">
        <f>COUNTIFS(Planilha1!$A$2:$A$28,A12)</f>
        <v>2</v>
      </c>
      <c r="D12">
        <f>COUNTIFS(Planilha1!$A$29:$A$40,A12)</f>
        <v>0</v>
      </c>
    </row>
    <row r="13" spans="1:4">
      <c r="A13" s="4" t="s">
        <v>45</v>
      </c>
      <c r="B13">
        <f>COUNTIFS(Planilha1!$A$2:$A$40,A13)</f>
        <v>2</v>
      </c>
      <c r="C13">
        <f>COUNTIFS(Planilha1!$A$2:$A$28,A13)</f>
        <v>2</v>
      </c>
      <c r="D13">
        <f>COUNTIFS(Planilha1!$A$29:$A$40,A13)</f>
        <v>0</v>
      </c>
    </row>
    <row r="14" spans="1:4">
      <c r="A14" s="2" t="s">
        <v>47</v>
      </c>
      <c r="B14">
        <f>COUNTIFS(Planilha1!$A$2:$A$40,A14)</f>
        <v>1</v>
      </c>
      <c r="C14">
        <f>COUNTIFS(Planilha1!$A$2:$A$28,A14)</f>
        <v>1</v>
      </c>
      <c r="D14">
        <f>COUNTIFS(Planilha1!$A$29:$A$40,A14)</f>
        <v>0</v>
      </c>
    </row>
    <row r="15" spans="1:4">
      <c r="A15" s="2" t="s">
        <v>52</v>
      </c>
      <c r="B15">
        <f>COUNTIFS(Planilha1!$A$2:$A$40,A15)</f>
        <v>2</v>
      </c>
      <c r="C15">
        <f>COUNTIFS(Planilha1!$A$2:$A$28,A15)</f>
        <v>2</v>
      </c>
      <c r="D15">
        <f>COUNTIFS(Planilha1!$A$29:$A$40,A15)</f>
        <v>0</v>
      </c>
    </row>
    <row r="16" spans="1:4">
      <c r="A16" s="2" t="s">
        <v>56</v>
      </c>
      <c r="B16">
        <f>COUNTIFS(Planilha1!$A$2:$A$40,A16)</f>
        <v>2</v>
      </c>
      <c r="C16">
        <f>COUNTIFS(Planilha1!$A$2:$A$28,A16)</f>
        <v>1</v>
      </c>
      <c r="D16">
        <f>COUNTIFS(Planilha1!$A$29:$A$40,A16)</f>
        <v>1</v>
      </c>
    </row>
    <row r="17" spans="1:4">
      <c r="A17" s="2" t="s">
        <v>58</v>
      </c>
      <c r="B17">
        <f>COUNTIFS(Planilha1!$A$2:$A$40,A17)</f>
        <v>2</v>
      </c>
      <c r="C17">
        <f>COUNTIFS(Planilha1!$A$2:$A$28,A17)</f>
        <v>2</v>
      </c>
      <c r="D17">
        <f>COUNTIFS(Planilha1!$A$29:$A$40,A17)</f>
        <v>0</v>
      </c>
    </row>
    <row r="18" spans="1:4">
      <c r="A18" s="2" t="s">
        <v>60</v>
      </c>
      <c r="B18">
        <f>COUNTIFS(Planilha1!$A$2:$A$40,A18)</f>
        <v>1</v>
      </c>
      <c r="C18">
        <f>COUNTIFS(Planilha1!$A$2:$A$28,A18)</f>
        <v>1</v>
      </c>
      <c r="D18">
        <f>COUNTIFS(Planilha1!$A$29:$A$40,A18)</f>
        <v>0</v>
      </c>
    </row>
    <row r="19" spans="1:4">
      <c r="A19" s="2" t="s">
        <v>65</v>
      </c>
      <c r="B19">
        <f>COUNTIFS(Planilha1!$A$2:$A$40,A19)</f>
        <v>1</v>
      </c>
      <c r="C19">
        <f>COUNTIFS(Planilha1!$A$2:$A$28,A19)</f>
        <v>1</v>
      </c>
      <c r="D19">
        <f>COUNTIFS(Planilha1!$A$29:$A$40,A19)</f>
        <v>0</v>
      </c>
    </row>
    <row r="20" spans="1:4">
      <c r="A20" s="2" t="s">
        <v>68</v>
      </c>
      <c r="B20">
        <f>COUNTIFS(Planilha1!$A$2:$A$40,A20)</f>
        <v>1</v>
      </c>
      <c r="C20">
        <f>COUNTIFS(Planilha1!$A$2:$A$28,A20)</f>
        <v>1</v>
      </c>
      <c r="D20">
        <f>COUNTIFS(Planilha1!$A$29:$A$40,A20)</f>
        <v>0</v>
      </c>
    </row>
    <row r="21" spans="1:4">
      <c r="A21" s="2" t="s">
        <v>71</v>
      </c>
      <c r="B21">
        <f>COUNTIFS(Planilha1!$A$2:$A$40,A21)</f>
        <v>2</v>
      </c>
      <c r="C21">
        <f>COUNTIFS(Planilha1!$A$2:$A$28,A21)</f>
        <v>1</v>
      </c>
      <c r="D21">
        <f>COUNTIFS(Planilha1!$A$29:$A$40,A21)</f>
        <v>1</v>
      </c>
    </row>
    <row r="22" spans="1:4">
      <c r="A22" s="1" t="s">
        <v>74</v>
      </c>
      <c r="B22">
        <f>COUNTIFS(Planilha1!$A$2:$A$40,A22)</f>
        <v>2</v>
      </c>
      <c r="C22">
        <f>COUNTIFS(Planilha1!$A$2:$A$28,A22)</f>
        <v>1</v>
      </c>
      <c r="D22">
        <f>COUNTIFS(Planilha1!$A$29:$A$40,A22)</f>
        <v>1</v>
      </c>
    </row>
    <row r="23" spans="1:4">
      <c r="A23" s="4" t="s">
        <v>80</v>
      </c>
      <c r="B23">
        <f>COUNTIFS(Planilha1!$A$2:$A$40,A23)</f>
        <v>1</v>
      </c>
      <c r="C23">
        <f>COUNTIFS(Planilha1!$A$2:$A$28,A23)</f>
        <v>0</v>
      </c>
      <c r="D23">
        <f>COUNTIFS(Planilha1!$A$29:$A$40,A23)</f>
        <v>1</v>
      </c>
    </row>
    <row r="24" spans="1:4">
      <c r="A24" s="3" t="s">
        <v>82</v>
      </c>
      <c r="B24">
        <f>COUNTIFS(Planilha1!$A$2:$A$40,A24)</f>
        <v>1</v>
      </c>
      <c r="C24">
        <f>COUNTIFS(Planilha1!$A$2:$A$28,A24)</f>
        <v>0</v>
      </c>
      <c r="D24">
        <f>COUNTIFS(Planilha1!$A$29:$A$40,A24)</f>
        <v>1</v>
      </c>
    </row>
    <row r="25" spans="1:4">
      <c r="A25" s="3" t="s">
        <v>84</v>
      </c>
      <c r="B25">
        <f>COUNTIFS(Planilha1!$A$2:$A$40,A25)</f>
        <v>1</v>
      </c>
      <c r="C25">
        <f>COUNTIFS(Planilha1!$A$2:$A$28,A25)</f>
        <v>0</v>
      </c>
      <c r="D25">
        <f>COUNTIFS(Planilha1!$A$29:$A$40,A25)</f>
        <v>1</v>
      </c>
    </row>
    <row r="26" spans="1:4">
      <c r="A26" s="3" t="s">
        <v>88</v>
      </c>
      <c r="B26">
        <f>COUNTIFS(Planilha1!$A$2:$A$40,A26)</f>
        <v>1</v>
      </c>
      <c r="C26">
        <f>COUNTIFS(Planilha1!$A$2:$A$28,A26)</f>
        <v>0</v>
      </c>
      <c r="D26">
        <f>COUNTIFS(Planilha1!$A$29:$A$40,A26)</f>
        <v>1</v>
      </c>
    </row>
    <row r="27" spans="1:4">
      <c r="A27" s="3" t="s">
        <v>93</v>
      </c>
      <c r="B27">
        <f>COUNTIFS(Planilha1!$A$2:$A$40,A27)</f>
        <v>1</v>
      </c>
      <c r="C27">
        <f>COUNTIFS(Planilha1!$A$2:$A$28,A27)</f>
        <v>0</v>
      </c>
      <c r="D27">
        <f>COUNTIFS(Planilha1!$A$29:$A$40,A27)</f>
        <v>1</v>
      </c>
    </row>
    <row r="28" spans="1:4">
      <c r="A28" s="1" t="s">
        <v>96</v>
      </c>
      <c r="B28">
        <f>COUNTIFS(Planilha1!$A$2:$A$40,A28)</f>
        <v>1</v>
      </c>
      <c r="C28">
        <f>COUNTIFS(Planilha1!$A$2:$A$28,A28)</f>
        <v>0</v>
      </c>
      <c r="D28">
        <f>COUNTIFS(Planilha1!$A$29:$A$40,A28)</f>
        <v>1</v>
      </c>
    </row>
    <row r="29" spans="1:4">
      <c r="A29" s="2" t="s">
        <v>102</v>
      </c>
      <c r="B29">
        <f>COUNTIFS(Planilha1!$A$2:$A$40,A29)</f>
        <v>0</v>
      </c>
      <c r="C29">
        <f>COUNTIFS(Planilha1!$A$2:$A$28,A29)</f>
        <v>0</v>
      </c>
      <c r="D29">
        <f>COUNTIFS(Planilha1!$A$29:$A$40,A29)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2026-09-12T20:12:20Z</dcterms:created>
  <dcterms:modified xsi:type="dcterms:W3CDTF">2026-09-12T21:33:58Z</dcterms:modified>
  <cp:category/>
  <cp:contentStatus/>
</cp:coreProperties>
</file>